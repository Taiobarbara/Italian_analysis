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bazam/dev/Italian_analysis/results/tables/"/>
    </mc:Choice>
  </mc:AlternateContent>
  <xr:revisionPtr revIDLastSave="0" documentId="13_ncr:1_{2C1322AB-DAF8-A04D-818F-628B7F3FBA47}" xr6:coauthVersionLast="47" xr6:coauthVersionMax="47" xr10:uidLastSave="{00000000-0000-0000-0000-000000000000}"/>
  <bookViews>
    <workbookView xWindow="31180" yWindow="1000" windowWidth="29400" windowHeight="16660" activeTab="1" xr2:uid="{00000000-000D-0000-FFFF-FFFF00000000}"/>
  </bookViews>
  <sheets>
    <sheet name="Q11_Yes" sheetId="1" r:id="rId1"/>
    <sheet name="Sheet1" sheetId="5" r:id="rId2"/>
    <sheet name="Q11_No" sheetId="2" r:id="rId3"/>
    <sheet name="Q22_Yes" sheetId="3" r:id="rId4"/>
    <sheet name="Q22_No" sheetId="4" r:id="rId5"/>
  </sheets>
  <definedNames>
    <definedName name="_xlchart.v2.0" hidden="1">Sheet1!$B$32</definedName>
    <definedName name="_xlchart.v2.1" hidden="1">Sheet1!$B$33</definedName>
    <definedName name="_xlchart.v2.10" hidden="1">Sheet1!$D$32:$D$35</definedName>
    <definedName name="_xlchart.v2.11" hidden="1">Sheet1!$E$32:$E$35</definedName>
    <definedName name="_xlchart.v2.12" hidden="1">Sheet1!$F$32:$F$35</definedName>
    <definedName name="_xlchart.v2.2" hidden="1">Sheet1!$B$34</definedName>
    <definedName name="_xlchart.v2.3" hidden="1">Sheet1!$B$35</definedName>
    <definedName name="_xlchart.v2.4" hidden="1">Sheet1!$C$32:$F$32</definedName>
    <definedName name="_xlchart.v2.5" hidden="1">Sheet1!$C$33:$F$33</definedName>
    <definedName name="_xlchart.v2.6" hidden="1">Sheet1!$C$34:$F$34</definedName>
    <definedName name="_xlchart.v2.7" hidden="1">Sheet1!$C$35:$F$35</definedName>
    <definedName name="_xlchart.v2.8" hidden="1">Sheet1!$B$32:$B$35</definedName>
    <definedName name="_xlchart.v2.9" hidden="1">Sheet1!$C$32:$C$35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5" l="1"/>
  <c r="E19" i="5"/>
  <c r="F19" i="5"/>
  <c r="G19" i="5"/>
  <c r="H19" i="5"/>
  <c r="I19" i="5"/>
  <c r="J19" i="5"/>
  <c r="C19" i="5"/>
  <c r="F32" i="5"/>
  <c r="F28" i="5"/>
  <c r="F29" i="5"/>
  <c r="F30" i="5"/>
  <c r="F31" i="5"/>
  <c r="F27" i="5"/>
  <c r="F26" i="5"/>
  <c r="F25" i="5"/>
  <c r="E33" i="5"/>
  <c r="E34" i="5"/>
  <c r="E35" i="5"/>
  <c r="E32" i="5"/>
  <c r="E28" i="5"/>
  <c r="E29" i="5"/>
  <c r="E30" i="5"/>
  <c r="E31" i="5"/>
  <c r="E27" i="5"/>
  <c r="E26" i="5"/>
  <c r="E25" i="5"/>
  <c r="F33" i="5"/>
  <c r="F34" i="5"/>
  <c r="F35" i="5"/>
  <c r="D33" i="5"/>
  <c r="D34" i="5"/>
  <c r="D35" i="5"/>
  <c r="D32" i="5"/>
  <c r="D28" i="5"/>
  <c r="D27" i="5"/>
  <c r="D29" i="5"/>
  <c r="D30" i="5"/>
  <c r="D31" i="5"/>
  <c r="D26" i="5"/>
  <c r="C26" i="5"/>
  <c r="D25" i="5"/>
  <c r="C33" i="5"/>
  <c r="C34" i="5"/>
  <c r="C35" i="5"/>
  <c r="C32" i="5"/>
  <c r="C28" i="5"/>
  <c r="C29" i="5"/>
  <c r="C30" i="5"/>
  <c r="C31" i="5"/>
  <c r="C27" i="5"/>
  <c r="C25" i="5"/>
</calcChain>
</file>

<file path=xl/sharedStrings.xml><?xml version="1.0" encoding="utf-8"?>
<sst xmlns="http://schemas.openxmlformats.org/spreadsheetml/2006/main" count="203" uniqueCount="40">
  <si>
    <t>Category</t>
  </si>
  <si>
    <t>Variable</t>
  </si>
  <si>
    <t>Count</t>
  </si>
  <si>
    <t>Percent</t>
  </si>
  <si>
    <t>Gender</t>
  </si>
  <si>
    <t>gender_female</t>
  </si>
  <si>
    <t>gender_male</t>
  </si>
  <si>
    <t>gender_non-binary</t>
  </si>
  <si>
    <t>gender_prefer_not_to_say</t>
  </si>
  <si>
    <t>Age</t>
  </si>
  <si>
    <t>age_less_than_18</t>
  </si>
  <si>
    <t>age_19-30</t>
  </si>
  <si>
    <t>age_31-40</t>
  </si>
  <si>
    <t>age_41-55</t>
  </si>
  <si>
    <t>age_56-65</t>
  </si>
  <si>
    <t>age_over_65</t>
  </si>
  <si>
    <t>Education</t>
  </si>
  <si>
    <t>educational_level_primary_school</t>
  </si>
  <si>
    <t>educational_level_high_school</t>
  </si>
  <si>
    <t>educational_level_bachelors_degree</t>
  </si>
  <si>
    <t>educational_level_masters_degree</t>
  </si>
  <si>
    <t>educational_level_PhD_or_equivalent</t>
  </si>
  <si>
    <t>Q11</t>
  </si>
  <si>
    <t>Yes</t>
  </si>
  <si>
    <t>No</t>
  </si>
  <si>
    <t>Q22</t>
  </si>
  <si>
    <t>yes</t>
  </si>
  <si>
    <t>no</t>
  </si>
  <si>
    <t>Female</t>
  </si>
  <si>
    <t>Male</t>
  </si>
  <si>
    <t>19-30</t>
  </si>
  <si>
    <t>31-40</t>
  </si>
  <si>
    <t>41-55</t>
  </si>
  <si>
    <t>56-65</t>
  </si>
  <si>
    <t>over 65</t>
  </si>
  <si>
    <t>High School</t>
  </si>
  <si>
    <t>MSc</t>
  </si>
  <si>
    <t>BSc</t>
  </si>
  <si>
    <t>PhD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</si>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</sst>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Q11 and Q22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Sheet1!$B$25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Sheet1!$C$24:$F$24</c:f>
              <c:strCache>
                <c:ptCount val="4"/>
                <c:pt idx="0">
                  <c:v>Yes</c:v>
                </c:pt>
                <c:pt idx="1">
                  <c:v>No</c:v>
                </c:pt>
                <c:pt idx="2">
                  <c:v>Yes</c:v>
                </c:pt>
                <c:pt idx="3">
                  <c:v>No</c:v>
                </c:pt>
              </c:strCache>
            </c:strRef>
          </c:cat>
          <c:val>
            <c:numRef>
              <c:f>Sheet1!$C$25:$F$25</c:f>
              <c:numCache>
                <c:formatCode>0.0</c:formatCode>
                <c:ptCount val="4"/>
                <c:pt idx="0">
                  <c:v>56.725755995828983</c:v>
                </c:pt>
                <c:pt idx="1">
                  <c:v>70.449897750511255</c:v>
                </c:pt>
                <c:pt idx="2">
                  <c:v>57.426778242677827</c:v>
                </c:pt>
                <c:pt idx="3">
                  <c:v>51.387461459403909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B-EA4E-A3D8-C15408CFBAF5}"/>
            </c:ext>
          </c:extLst>
        </c:ser>
        <c:ser>
          <c:idx val="1"/>
          <c:order val="1"/>
          <c:tx>
            <c:strRef>
              <c:f>Sheet1!$B$26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Sheet1!$C$24:$F$24</c:f>
              <c:strCache>
                <c:ptCount val="4"/>
                <c:pt idx="0">
                  <c:v>Yes</c:v>
                </c:pt>
                <c:pt idx="1">
                  <c:v>No</c:v>
                </c:pt>
                <c:pt idx="2">
                  <c:v>Yes</c:v>
                </c:pt>
                <c:pt idx="3">
                  <c:v>No</c:v>
                </c:pt>
              </c:strCache>
            </c:strRef>
          </c:cat>
          <c:val>
            <c:numRef>
              <c:f>Sheet1!$C$26:$F$26</c:f>
              <c:numCache>
                <c:formatCode>0.0</c:formatCode>
                <c:ptCount val="4"/>
                <c:pt idx="0">
                  <c:v>43.27424400417101</c:v>
                </c:pt>
                <c:pt idx="1">
                  <c:v>29.550102249488749</c:v>
                </c:pt>
                <c:pt idx="2">
                  <c:v>42.57322175732218</c:v>
                </c:pt>
                <c:pt idx="3">
                  <c:v>48.612538540596098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8B-EA4E-A3D8-C15408CFB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2196736"/>
        <c:axId val="592190016"/>
      </c:barChart>
      <c:catAx>
        <c:axId val="59219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190016"/>
        <c:crosses val="autoZero"/>
        <c:auto val="1"/>
        <c:lblAlgn val="ctr"/>
        <c:lblOffset val="100"/>
        <c:noMultiLvlLbl val="0"/>
      </c:catAx>
      <c:valAx>
        <c:axId val="59219001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19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Sheet1!$B$27</c:f>
              <c:strCache>
                <c:ptCount val="1"/>
                <c:pt idx="0">
                  <c:v>19-30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Sheet1!$C$27:$F$27</c:f>
              <c:numCache>
                <c:formatCode>0.0</c:formatCode>
                <c:ptCount val="4"/>
                <c:pt idx="0">
                  <c:v>47.442326980942831</c:v>
                </c:pt>
                <c:pt idx="1">
                  <c:v>31.099999999999994</c:v>
                </c:pt>
                <c:pt idx="2">
                  <c:v>47.542627883650958</c:v>
                </c:pt>
                <c:pt idx="3">
                  <c:v>46.446446446446451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D0-7944-8B06-25E53EBE0C77}"/>
            </c:ext>
          </c:extLst>
        </c:ser>
        <c:ser>
          <c:idx val="1"/>
          <c:order val="1"/>
          <c:tx>
            <c:strRef>
              <c:f>Sheet1!$B$28</c:f>
              <c:strCache>
                <c:ptCount val="1"/>
                <c:pt idx="0">
                  <c:v>31-40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Sheet1!$C$28:$F$28</c:f>
              <c:numCache>
                <c:formatCode>0.0</c:formatCode>
                <c:ptCount val="4"/>
                <c:pt idx="0">
                  <c:v>14.944834503510533</c:v>
                </c:pt>
                <c:pt idx="1">
                  <c:v>2.2000000000000002</c:v>
                </c:pt>
                <c:pt idx="2">
                  <c:v>15.045135406218657</c:v>
                </c:pt>
                <c:pt idx="3">
                  <c:v>14.514514514514516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D0-7944-8B06-25E53EBE0C77}"/>
            </c:ext>
          </c:extLst>
        </c:ser>
        <c:ser>
          <c:idx val="2"/>
          <c:order val="2"/>
          <c:tx>
            <c:strRef>
              <c:f>Sheet1!$B$29</c:f>
              <c:strCache>
                <c:ptCount val="1"/>
                <c:pt idx="0">
                  <c:v>41-55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Sheet1!$C$29:$F$29</c:f>
              <c:numCache>
                <c:formatCode>0.0</c:formatCode>
                <c:ptCount val="4"/>
                <c:pt idx="0">
                  <c:v>21.063189568706122</c:v>
                </c:pt>
                <c:pt idx="1">
                  <c:v>35.599999999999994</c:v>
                </c:pt>
                <c:pt idx="2">
                  <c:v>20.762286860581746</c:v>
                </c:pt>
                <c:pt idx="3">
                  <c:v>23.623623623623626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D0-7944-8B06-25E53EBE0C77}"/>
            </c:ext>
          </c:extLst>
        </c:ser>
        <c:ser>
          <c:idx val="3"/>
          <c:order val="3"/>
          <c:tx>
            <c:strRef>
              <c:f>Sheet1!$B$30</c:f>
              <c:strCache>
                <c:ptCount val="1"/>
                <c:pt idx="0">
                  <c:v>56-65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Sheet1!$C$30:$F$30</c:f>
              <c:numCache>
                <c:formatCode>0.0</c:formatCode>
                <c:ptCount val="4"/>
                <c:pt idx="0">
                  <c:v>14.543630892678035</c:v>
                </c:pt>
                <c:pt idx="1">
                  <c:v>26.699999999999996</c:v>
                </c:pt>
                <c:pt idx="2">
                  <c:v>14.643931795386161</c:v>
                </c:pt>
                <c:pt idx="3">
                  <c:v>13.613613613613614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D0-7944-8B06-25E53EBE0C77}"/>
            </c:ext>
          </c:extLst>
        </c:ser>
        <c:ser>
          <c:idx val="4"/>
          <c:order val="4"/>
          <c:tx>
            <c:strRef>
              <c:f>Sheet1!$B$31</c:f>
              <c:strCache>
                <c:ptCount val="1"/>
                <c:pt idx="0">
                  <c:v>over 65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Sheet1!$C$31:$F$31</c:f>
              <c:numCache>
                <c:formatCode>0.0</c:formatCode>
                <c:ptCount val="4"/>
                <c:pt idx="0">
                  <c:v>2.0060180541624879</c:v>
                </c:pt>
                <c:pt idx="1">
                  <c:v>4.4000000000000004</c:v>
                </c:pt>
                <c:pt idx="2">
                  <c:v>2.0060180541624879</c:v>
                </c:pt>
                <c:pt idx="3">
                  <c:v>1.801801801801802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D0-7944-8B06-25E53EBE0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9953856"/>
        <c:axId val="609948928"/>
      </c:barChart>
      <c:catAx>
        <c:axId val="60995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948928"/>
        <c:crosses val="autoZero"/>
        <c:auto val="1"/>
        <c:lblAlgn val="ctr"/>
        <c:lblOffset val="100"/>
        <c:noMultiLvlLbl val="0"/>
      </c:catAx>
      <c:valAx>
        <c:axId val="60994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953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Education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Sheet1!$B$32</c:f>
              <c:strCache>
                <c:ptCount val="1"/>
                <c:pt idx="0">
                  <c:v>High School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Sheet1!$C$32:$F$32</c:f>
              <c:numCache>
                <c:formatCode>0.0</c:formatCode>
                <c:ptCount val="4"/>
                <c:pt idx="0">
                  <c:v>32.729103726082577</c:v>
                </c:pt>
                <c:pt idx="1">
                  <c:v>62.827225130890049</c:v>
                </c:pt>
                <c:pt idx="2">
                  <c:v>32.290615539858727</c:v>
                </c:pt>
                <c:pt idx="3">
                  <c:v>36.4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04-3747-B1AD-9A4BC38C64AD}"/>
            </c:ext>
          </c:extLst>
        </c:ser>
        <c:ser>
          <c:idx val="1"/>
          <c:order val="1"/>
          <c:tx>
            <c:strRef>
              <c:f>Sheet1!$B$33</c:f>
              <c:strCache>
                <c:ptCount val="1"/>
                <c:pt idx="0">
                  <c:v>BSc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Sheet1!$C$33:$F$33</c:f>
              <c:numCache>
                <c:formatCode>0.0</c:formatCode>
                <c:ptCount val="4"/>
                <c:pt idx="0">
                  <c:v>19.335347432024168</c:v>
                </c:pt>
                <c:pt idx="1">
                  <c:v>4.6073298429319376</c:v>
                </c:pt>
                <c:pt idx="2">
                  <c:v>19.17255297679112</c:v>
                </c:pt>
                <c:pt idx="3">
                  <c:v>19.895287958115183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04-3747-B1AD-9A4BC38C64AD}"/>
            </c:ext>
          </c:extLst>
        </c:ser>
        <c:ser>
          <c:idx val="2"/>
          <c:order val="2"/>
          <c:tx>
            <c:strRef>
              <c:f>Sheet1!$B$34</c:f>
              <c:strCache>
                <c:ptCount val="1"/>
                <c:pt idx="0">
                  <c:v>MSc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Sheet1!$C$34:$F$34</c:f>
              <c:numCache>
                <c:formatCode>0.0</c:formatCode>
                <c:ptCount val="4"/>
                <c:pt idx="0">
                  <c:v>28.801611278952667</c:v>
                </c:pt>
                <c:pt idx="1">
                  <c:v>18.638743455497384</c:v>
                </c:pt>
                <c:pt idx="2">
                  <c:v>28.85973763874874</c:v>
                </c:pt>
                <c:pt idx="3">
                  <c:v>29.947643979057592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04-3747-B1AD-9A4BC38C64AD}"/>
            </c:ext>
          </c:extLst>
        </c:ser>
        <c:ser>
          <c:idx val="3"/>
          <c:order val="3"/>
          <c:tx>
            <c:strRef>
              <c:f>Sheet1!$B$35</c:f>
              <c:strCache>
                <c:ptCount val="1"/>
                <c:pt idx="0">
                  <c:v>PhD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Sheet1!$C$35:$F$35</c:f>
              <c:numCache>
                <c:formatCode>0.0</c:formatCode>
                <c:ptCount val="4"/>
                <c:pt idx="0">
                  <c:v>19.133937562940581</c:v>
                </c:pt>
                <c:pt idx="1">
                  <c:v>13.926701570680628</c:v>
                </c:pt>
                <c:pt idx="2">
                  <c:v>19.677093844601412</c:v>
                </c:pt>
                <c:pt idx="3">
                  <c:v>20.418848167539267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04-3747-B1AD-9A4BC38C6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1439424"/>
        <c:axId val="701446592"/>
      </c:barChart>
      <c:catAx>
        <c:axId val="7014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446592"/>
        <c:crosses val="autoZero"/>
        <c:auto val="1"/>
        <c:lblAlgn val="ctr"/>
        <c:lblOffset val="100"/>
        <c:noMultiLvlLbl val="0"/>
      </c:catAx>
      <c:valAx>
        <c:axId val="70144659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43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406400</xdr:colOff>
      <xdr:row>20</xdr:row>
      <xdr:rowOff>31750</xdr:rowOff>
    </xdr:from>
    <xdr:to>
      <xdr:col>13</xdr:col>
      <xdr:colOff>25400</xdr:colOff>
      <xdr:row>34</xdr:row>
      <xdr:rowOff>107950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EE7546-D017-45E9-A475-006577AD28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393700</xdr:colOff>
      <xdr:row>35</xdr:row>
      <xdr:rowOff>69850</xdr:rowOff>
    </xdr:from>
    <xdr:to>
      <xdr:col>13</xdr:col>
      <xdr:colOff>12700</xdr:colOff>
      <xdr:row>49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4B370E7-B1C1-19E2-B406-5F20E275D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190500</xdr:colOff>
      <xdr:row>35</xdr:row>
      <xdr:rowOff>107950</xdr:rowOff>
    </xdr:from>
    <xdr:to>
      <xdr:col>18</xdr:col>
      <xdr:colOff>635000</xdr:colOff>
      <xdr:row>49</xdr:row>
      <xdr:rowOff>184150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23092E0-FDBA-51D1-D8A2-35A4C4C96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sqref="A1:D16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539</v>
      </c>
      <c r="D2">
        <v>54.4</v>
      </c>
    </row>
    <row r="3" spans="1:4" x14ac:dyDescent="0.2">
      <c r="A3" t="s">
        <v>4</v>
      </c>
      <c r="B3" t="s">
        <v>6</v>
      </c>
      <c r="C3">
        <v>411</v>
      </c>
      <c r="D3">
        <v>41.5</v>
      </c>
    </row>
    <row r="4" spans="1:4" x14ac:dyDescent="0.2">
      <c r="A4" t="s">
        <v>4</v>
      </c>
      <c r="B4" t="s">
        <v>7</v>
      </c>
      <c r="C4">
        <v>15</v>
      </c>
      <c r="D4">
        <v>1.5</v>
      </c>
    </row>
    <row r="5" spans="1:4" x14ac:dyDescent="0.2">
      <c r="A5" t="s">
        <v>4</v>
      </c>
      <c r="B5" t="s">
        <v>8</v>
      </c>
      <c r="C5">
        <v>26</v>
      </c>
      <c r="D5">
        <v>2.6</v>
      </c>
    </row>
    <row r="6" spans="1:4" x14ac:dyDescent="0.2">
      <c r="A6" t="s">
        <v>9</v>
      </c>
      <c r="B6" t="s">
        <v>10</v>
      </c>
      <c r="C6">
        <v>2</v>
      </c>
      <c r="D6">
        <v>0.2</v>
      </c>
    </row>
    <row r="7" spans="1:4" x14ac:dyDescent="0.2">
      <c r="A7" t="s">
        <v>9</v>
      </c>
      <c r="B7" t="s">
        <v>11</v>
      </c>
      <c r="C7">
        <v>469</v>
      </c>
      <c r="D7">
        <v>47.3</v>
      </c>
    </row>
    <row r="8" spans="1:4" x14ac:dyDescent="0.2">
      <c r="A8" t="s">
        <v>9</v>
      </c>
      <c r="B8" t="s">
        <v>12</v>
      </c>
      <c r="C8">
        <v>148</v>
      </c>
      <c r="D8">
        <v>14.9</v>
      </c>
    </row>
    <row r="9" spans="1:4" x14ac:dyDescent="0.2">
      <c r="A9" t="s">
        <v>9</v>
      </c>
      <c r="B9" t="s">
        <v>13</v>
      </c>
      <c r="C9">
        <v>208</v>
      </c>
      <c r="D9">
        <v>21</v>
      </c>
    </row>
    <row r="10" spans="1:4" x14ac:dyDescent="0.2">
      <c r="A10" t="s">
        <v>9</v>
      </c>
      <c r="B10" t="s">
        <v>14</v>
      </c>
      <c r="C10">
        <v>144</v>
      </c>
      <c r="D10">
        <v>14.5</v>
      </c>
    </row>
    <row r="11" spans="1:4" x14ac:dyDescent="0.2">
      <c r="A11" t="s">
        <v>9</v>
      </c>
      <c r="B11" t="s">
        <v>15</v>
      </c>
      <c r="C11">
        <v>20</v>
      </c>
      <c r="D11">
        <v>2</v>
      </c>
    </row>
    <row r="12" spans="1:4" x14ac:dyDescent="0.2">
      <c r="A12" t="s">
        <v>16</v>
      </c>
      <c r="B12" t="s">
        <v>17</v>
      </c>
      <c r="C12">
        <v>8</v>
      </c>
      <c r="D12">
        <v>0.8</v>
      </c>
    </row>
    <row r="13" spans="1:4" x14ac:dyDescent="0.2">
      <c r="A13" t="s">
        <v>16</v>
      </c>
      <c r="B13" t="s">
        <v>18</v>
      </c>
      <c r="C13">
        <v>322</v>
      </c>
      <c r="D13">
        <v>32.5</v>
      </c>
    </row>
    <row r="14" spans="1:4" x14ac:dyDescent="0.2">
      <c r="A14" t="s">
        <v>16</v>
      </c>
      <c r="B14" t="s">
        <v>19</v>
      </c>
      <c r="C14">
        <v>190</v>
      </c>
      <c r="D14">
        <v>19.2</v>
      </c>
    </row>
    <row r="15" spans="1:4" x14ac:dyDescent="0.2">
      <c r="A15" t="s">
        <v>16</v>
      </c>
      <c r="B15" t="s">
        <v>20</v>
      </c>
      <c r="C15">
        <v>283</v>
      </c>
      <c r="D15">
        <v>28.6</v>
      </c>
    </row>
    <row r="16" spans="1:4" x14ac:dyDescent="0.2">
      <c r="A16" t="s">
        <v>16</v>
      </c>
      <c r="B16" t="s">
        <v>21</v>
      </c>
      <c r="C16">
        <v>188</v>
      </c>
      <c r="D16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3E028-6006-C247-B9DD-8F2AF5B3737F}">
  <dimension ref="A1:J35"/>
  <sheetViews>
    <sheetView tabSelected="1" workbookViewId="0">
      <selection activeCell="D10" sqref="D10"/>
    </sheetView>
  </sheetViews>
  <sheetFormatPr baseColWidth="10" defaultRowHeight="15" x14ac:dyDescent="0.2"/>
  <sheetData>
    <row r="1" spans="1:10" x14ac:dyDescent="0.2">
      <c r="C1" s="1" t="s">
        <v>22</v>
      </c>
      <c r="D1" s="1"/>
      <c r="E1" s="1"/>
      <c r="F1" s="1"/>
      <c r="G1" s="1" t="s">
        <v>25</v>
      </c>
      <c r="H1" s="1"/>
      <c r="I1" s="1"/>
      <c r="J1" s="1"/>
    </row>
    <row r="2" spans="1:10" x14ac:dyDescent="0.2">
      <c r="C2" s="1" t="s">
        <v>23</v>
      </c>
      <c r="D2" s="1"/>
      <c r="E2" s="1" t="s">
        <v>24</v>
      </c>
      <c r="F2" s="1"/>
      <c r="G2" s="1" t="s">
        <v>26</v>
      </c>
      <c r="H2" s="1"/>
      <c r="I2" s="1" t="s">
        <v>27</v>
      </c>
      <c r="J2" s="1"/>
    </row>
    <row r="3" spans="1:10" x14ac:dyDescent="0.2">
      <c r="A3" t="s">
        <v>0</v>
      </c>
      <c r="B3" t="s">
        <v>1</v>
      </c>
      <c r="C3" t="s">
        <v>2</v>
      </c>
      <c r="D3" t="s">
        <v>3</v>
      </c>
      <c r="E3" t="s">
        <v>2</v>
      </c>
      <c r="F3" t="s">
        <v>3</v>
      </c>
      <c r="G3" t="s">
        <v>2</v>
      </c>
      <c r="H3" t="s">
        <v>3</v>
      </c>
      <c r="I3" t="s">
        <v>2</v>
      </c>
      <c r="J3" t="s">
        <v>3</v>
      </c>
    </row>
    <row r="4" spans="1:10" x14ac:dyDescent="0.2">
      <c r="A4" t="s">
        <v>4</v>
      </c>
      <c r="B4" t="s">
        <v>5</v>
      </c>
      <c r="C4">
        <v>539</v>
      </c>
      <c r="D4">
        <v>54.4</v>
      </c>
      <c r="E4">
        <v>31</v>
      </c>
      <c r="F4">
        <v>68.900000000000006</v>
      </c>
      <c r="G4">
        <v>484</v>
      </c>
      <c r="H4">
        <v>54.9</v>
      </c>
      <c r="I4">
        <v>55</v>
      </c>
      <c r="J4">
        <v>50</v>
      </c>
    </row>
    <row r="5" spans="1:10" x14ac:dyDescent="0.2">
      <c r="A5" t="s">
        <v>4</v>
      </c>
      <c r="B5" t="s">
        <v>6</v>
      </c>
      <c r="C5">
        <v>411</v>
      </c>
      <c r="D5">
        <v>41.5</v>
      </c>
      <c r="E5">
        <v>13</v>
      </c>
      <c r="F5">
        <v>28.9</v>
      </c>
      <c r="G5">
        <v>359</v>
      </c>
      <c r="H5">
        <v>40.700000000000003</v>
      </c>
      <c r="I5">
        <v>52</v>
      </c>
      <c r="J5">
        <v>47.3</v>
      </c>
    </row>
    <row r="6" spans="1:10" x14ac:dyDescent="0.2">
      <c r="A6" t="s">
        <v>4</v>
      </c>
      <c r="B6" t="s">
        <v>7</v>
      </c>
      <c r="C6">
        <v>15</v>
      </c>
      <c r="D6">
        <v>1.5</v>
      </c>
      <c r="E6">
        <v>0</v>
      </c>
      <c r="F6">
        <v>0</v>
      </c>
      <c r="G6">
        <v>14</v>
      </c>
      <c r="H6">
        <v>1.6</v>
      </c>
      <c r="I6">
        <v>1</v>
      </c>
      <c r="J6">
        <v>0.9</v>
      </c>
    </row>
    <row r="7" spans="1:10" x14ac:dyDescent="0.2">
      <c r="A7" t="s">
        <v>4</v>
      </c>
      <c r="B7" t="s">
        <v>8</v>
      </c>
      <c r="C7">
        <v>26</v>
      </c>
      <c r="D7">
        <v>2.6</v>
      </c>
      <c r="E7">
        <v>1</v>
      </c>
      <c r="F7">
        <v>2.2000000000000002</v>
      </c>
      <c r="G7">
        <v>24</v>
      </c>
      <c r="H7">
        <v>2.7</v>
      </c>
      <c r="I7">
        <v>2</v>
      </c>
      <c r="J7">
        <v>1.8</v>
      </c>
    </row>
    <row r="8" spans="1:10" x14ac:dyDescent="0.2">
      <c r="A8" t="s">
        <v>9</v>
      </c>
      <c r="B8" t="s">
        <v>10</v>
      </c>
      <c r="C8">
        <v>2</v>
      </c>
      <c r="D8">
        <v>0.2</v>
      </c>
      <c r="E8">
        <v>0</v>
      </c>
      <c r="F8">
        <v>0</v>
      </c>
      <c r="G8">
        <v>2</v>
      </c>
      <c r="H8">
        <v>0.2</v>
      </c>
      <c r="I8">
        <v>0</v>
      </c>
      <c r="J8">
        <v>0</v>
      </c>
    </row>
    <row r="9" spans="1:10" x14ac:dyDescent="0.2">
      <c r="A9" t="s">
        <v>9</v>
      </c>
      <c r="B9" t="s">
        <v>11</v>
      </c>
      <c r="C9">
        <v>469</v>
      </c>
      <c r="D9">
        <v>47.3</v>
      </c>
      <c r="E9">
        <v>14</v>
      </c>
      <c r="F9">
        <v>31.1</v>
      </c>
      <c r="G9">
        <v>418</v>
      </c>
      <c r="H9">
        <v>47.4</v>
      </c>
      <c r="I9">
        <v>51</v>
      </c>
      <c r="J9">
        <v>46.4</v>
      </c>
    </row>
    <row r="10" spans="1:10" x14ac:dyDescent="0.2">
      <c r="A10" t="s">
        <v>9</v>
      </c>
      <c r="B10" t="s">
        <v>12</v>
      </c>
      <c r="C10">
        <v>148</v>
      </c>
      <c r="D10">
        <v>14.9</v>
      </c>
      <c r="E10">
        <v>1</v>
      </c>
      <c r="F10">
        <v>2.2000000000000002</v>
      </c>
      <c r="G10">
        <v>132</v>
      </c>
      <c r="H10">
        <v>15</v>
      </c>
      <c r="I10">
        <v>16</v>
      </c>
      <c r="J10">
        <v>14.5</v>
      </c>
    </row>
    <row r="11" spans="1:10" x14ac:dyDescent="0.2">
      <c r="A11" t="s">
        <v>9</v>
      </c>
      <c r="B11" t="s">
        <v>13</v>
      </c>
      <c r="C11">
        <v>208</v>
      </c>
      <c r="D11">
        <v>21</v>
      </c>
      <c r="E11">
        <v>16</v>
      </c>
      <c r="F11">
        <v>35.6</v>
      </c>
      <c r="G11">
        <v>182</v>
      </c>
      <c r="H11">
        <v>20.7</v>
      </c>
      <c r="I11">
        <v>26</v>
      </c>
      <c r="J11">
        <v>23.6</v>
      </c>
    </row>
    <row r="12" spans="1:10" x14ac:dyDescent="0.2">
      <c r="A12" t="s">
        <v>9</v>
      </c>
      <c r="B12" t="s">
        <v>14</v>
      </c>
      <c r="C12">
        <v>144</v>
      </c>
      <c r="D12">
        <v>14.5</v>
      </c>
      <c r="E12">
        <v>12</v>
      </c>
      <c r="F12">
        <v>26.7</v>
      </c>
      <c r="G12">
        <v>129</v>
      </c>
      <c r="H12">
        <v>14.6</v>
      </c>
      <c r="I12">
        <v>15</v>
      </c>
      <c r="J12">
        <v>13.6</v>
      </c>
    </row>
    <row r="13" spans="1:10" x14ac:dyDescent="0.2">
      <c r="A13" t="s">
        <v>9</v>
      </c>
      <c r="B13" t="s">
        <v>15</v>
      </c>
      <c r="C13">
        <v>20</v>
      </c>
      <c r="D13">
        <v>2</v>
      </c>
      <c r="E13">
        <v>2</v>
      </c>
      <c r="F13">
        <v>4.4000000000000004</v>
      </c>
      <c r="G13">
        <v>18</v>
      </c>
      <c r="H13">
        <v>2</v>
      </c>
      <c r="I13">
        <v>2</v>
      </c>
      <c r="J13">
        <v>1.8</v>
      </c>
    </row>
    <row r="14" spans="1:10" x14ac:dyDescent="0.2">
      <c r="A14" t="s">
        <v>16</v>
      </c>
      <c r="B14" t="s">
        <v>17</v>
      </c>
      <c r="C14">
        <v>8</v>
      </c>
      <c r="D14">
        <v>0.8</v>
      </c>
      <c r="E14">
        <v>2</v>
      </c>
      <c r="F14">
        <v>4.4000000000000004</v>
      </c>
      <c r="G14">
        <v>8</v>
      </c>
      <c r="H14">
        <v>0.9</v>
      </c>
      <c r="I14">
        <v>0</v>
      </c>
      <c r="J14">
        <v>0</v>
      </c>
    </row>
    <row r="15" spans="1:10" x14ac:dyDescent="0.2">
      <c r="A15" t="s">
        <v>16</v>
      </c>
      <c r="B15" t="s">
        <v>18</v>
      </c>
      <c r="C15">
        <v>322</v>
      </c>
      <c r="D15">
        <v>32.5</v>
      </c>
      <c r="E15">
        <v>27</v>
      </c>
      <c r="F15">
        <v>60</v>
      </c>
      <c r="G15">
        <v>282</v>
      </c>
      <c r="H15">
        <v>32</v>
      </c>
      <c r="I15">
        <v>40</v>
      </c>
      <c r="J15">
        <v>36.4</v>
      </c>
    </row>
    <row r="16" spans="1:10" x14ac:dyDescent="0.2">
      <c r="A16" t="s">
        <v>16</v>
      </c>
      <c r="B16" t="s">
        <v>19</v>
      </c>
      <c r="C16">
        <v>190</v>
      </c>
      <c r="D16">
        <v>19.2</v>
      </c>
      <c r="E16">
        <v>2</v>
      </c>
      <c r="F16">
        <v>4.4000000000000004</v>
      </c>
      <c r="G16">
        <v>167</v>
      </c>
      <c r="H16">
        <v>19</v>
      </c>
      <c r="I16">
        <v>23</v>
      </c>
      <c r="J16">
        <v>20.9</v>
      </c>
    </row>
    <row r="17" spans="1:10" x14ac:dyDescent="0.2">
      <c r="A17" t="s">
        <v>16</v>
      </c>
      <c r="B17" t="s">
        <v>20</v>
      </c>
      <c r="C17">
        <v>283</v>
      </c>
      <c r="D17">
        <v>28.6</v>
      </c>
      <c r="E17">
        <v>8</v>
      </c>
      <c r="F17">
        <v>17.8</v>
      </c>
      <c r="G17">
        <v>252</v>
      </c>
      <c r="H17">
        <v>28.6</v>
      </c>
      <c r="I17">
        <v>31</v>
      </c>
      <c r="J17">
        <v>28.2</v>
      </c>
    </row>
    <row r="18" spans="1:10" x14ac:dyDescent="0.2">
      <c r="A18" t="s">
        <v>16</v>
      </c>
      <c r="B18" t="s">
        <v>21</v>
      </c>
      <c r="C18">
        <v>188</v>
      </c>
      <c r="D18">
        <v>19</v>
      </c>
      <c r="E18">
        <v>6</v>
      </c>
      <c r="F18">
        <v>13.3</v>
      </c>
      <c r="G18">
        <v>172</v>
      </c>
      <c r="H18">
        <v>19.5</v>
      </c>
      <c r="I18">
        <v>16</v>
      </c>
      <c r="J18">
        <v>14.5</v>
      </c>
    </row>
    <row r="19" spans="1:10" x14ac:dyDescent="0.2">
      <c r="A19" t="s">
        <v>39</v>
      </c>
      <c r="C19">
        <f>SUM(C4:C7)</f>
        <v>991</v>
      </c>
      <c r="D19">
        <f>C19/(C19+E19)</f>
        <v>0.95656370656370659</v>
      </c>
      <c r="E19">
        <f t="shared" ref="D19:J19" si="0">SUM(E4:E7)</f>
        <v>45</v>
      </c>
      <c r="F19">
        <f t="shared" si="0"/>
        <v>100.00000000000001</v>
      </c>
      <c r="G19">
        <f t="shared" si="0"/>
        <v>881</v>
      </c>
      <c r="H19">
        <f t="shared" si="0"/>
        <v>99.899999999999991</v>
      </c>
      <c r="I19">
        <f t="shared" si="0"/>
        <v>110</v>
      </c>
      <c r="J19">
        <f t="shared" si="0"/>
        <v>100</v>
      </c>
    </row>
    <row r="23" spans="1:10" x14ac:dyDescent="0.2">
      <c r="C23" t="s">
        <v>22</v>
      </c>
      <c r="E23" t="s">
        <v>25</v>
      </c>
    </row>
    <row r="24" spans="1:10" x14ac:dyDescent="0.2">
      <c r="C24" t="s">
        <v>23</v>
      </c>
      <c r="D24" t="s">
        <v>24</v>
      </c>
      <c r="E24" t="s">
        <v>23</v>
      </c>
      <c r="F24" t="s">
        <v>24</v>
      </c>
    </row>
    <row r="25" spans="1:10" x14ac:dyDescent="0.2">
      <c r="A25" t="s">
        <v>4</v>
      </c>
      <c r="B25" t="s">
        <v>28</v>
      </c>
      <c r="C25" s="2">
        <f>(D4*100)/(D4+D5)</f>
        <v>56.725755995828983</v>
      </c>
      <c r="D25" s="2">
        <f>(F4*100)/(F4+F5)</f>
        <v>70.449897750511255</v>
      </c>
      <c r="E25" s="2">
        <f>(H4*100)/(H4+H5)</f>
        <v>57.426778242677827</v>
      </c>
      <c r="F25" s="2">
        <f>(J4*100)/(J4+J5)</f>
        <v>51.387461459403909</v>
      </c>
    </row>
    <row r="26" spans="1:10" x14ac:dyDescent="0.2">
      <c r="B26" t="s">
        <v>29</v>
      </c>
      <c r="C26" s="2">
        <f>(D5*100)/(D4+D5)</f>
        <v>43.27424400417101</v>
      </c>
      <c r="D26" s="2">
        <f>(F5*100)/(F4+F5)</f>
        <v>29.550102249488749</v>
      </c>
      <c r="E26" s="2">
        <f>(H5*100)/(H4+H5)</f>
        <v>42.57322175732218</v>
      </c>
      <c r="F26" s="2">
        <f>(J5*100)/(J4+J5)</f>
        <v>48.612538540596098</v>
      </c>
    </row>
    <row r="27" spans="1:10" x14ac:dyDescent="0.2">
      <c r="A27" t="s">
        <v>9</v>
      </c>
      <c r="B27" t="s">
        <v>30</v>
      </c>
      <c r="C27" s="2">
        <f>(D9*100)/($D$9+$D$10+$D$11+$D$12+$D$13)</f>
        <v>47.442326980942831</v>
      </c>
      <c r="D27" s="2">
        <f>(F9*100)/($F$9+$F$10+$F$11+$F$12+$F$13)</f>
        <v>31.099999999999994</v>
      </c>
      <c r="E27" s="2">
        <f>(H9*100)/($H$9+$H$10+$H$11+$H$12+$H$13)</f>
        <v>47.542627883650958</v>
      </c>
      <c r="F27" s="2">
        <f>(J9*100)/($J$9+$J$10+$J$11+$J$12+$J$13)</f>
        <v>46.446446446446451</v>
      </c>
    </row>
    <row r="28" spans="1:10" x14ac:dyDescent="0.2">
      <c r="B28" t="s">
        <v>31</v>
      </c>
      <c r="C28" s="2">
        <f>(D10*100)/($D$9+$D$10+$D$11+$D$12+$D$13)</f>
        <v>14.944834503510533</v>
      </c>
      <c r="D28" s="2">
        <f>(F10*100)/($F$9+$F$10+$F$11+$F$12+$F$13)</f>
        <v>2.2000000000000002</v>
      </c>
      <c r="E28" s="2">
        <f>(H10*100)/($H$9+$H$10+$H$11+$H$12+$H$13)</f>
        <v>15.045135406218657</v>
      </c>
      <c r="F28" s="2">
        <f>(J10*100)/($J$9+$J$10+$J$11+$J$12+$J$13)</f>
        <v>14.514514514514516</v>
      </c>
    </row>
    <row r="29" spans="1:10" x14ac:dyDescent="0.2">
      <c r="B29" t="s">
        <v>32</v>
      </c>
      <c r="C29" s="2">
        <f>(D11*100)/($D$9+$D$10+$D$11+$D$12+$D$13)</f>
        <v>21.063189568706122</v>
      </c>
      <c r="D29" s="2">
        <f>(F11*100)/($F$9+$F$10+$F$11+$F$12+$F$13)</f>
        <v>35.599999999999994</v>
      </c>
      <c r="E29" s="2">
        <f>(H11*100)/($H$9+$H$10+$H$11+$H$12+$H$13)</f>
        <v>20.762286860581746</v>
      </c>
      <c r="F29" s="2">
        <f>(J11*100)/($J$9+$J$10+$J$11+$J$12+$J$13)</f>
        <v>23.623623623623626</v>
      </c>
    </row>
    <row r="30" spans="1:10" x14ac:dyDescent="0.2">
      <c r="B30" t="s">
        <v>33</v>
      </c>
      <c r="C30" s="2">
        <f>(D12*100)/($D$9+$D$10+$D$11+$D$12+$D$13)</f>
        <v>14.543630892678035</v>
      </c>
      <c r="D30" s="2">
        <f>(F12*100)/($F$9+$F$10+$F$11+$F$12+$F$13)</f>
        <v>26.699999999999996</v>
      </c>
      <c r="E30" s="2">
        <f>(H12*100)/($H$9+$H$10+$H$11+$H$12+$H$13)</f>
        <v>14.643931795386161</v>
      </c>
      <c r="F30" s="2">
        <f>(J12*100)/($J$9+$J$10+$J$11+$J$12+$J$13)</f>
        <v>13.613613613613614</v>
      </c>
    </row>
    <row r="31" spans="1:10" x14ac:dyDescent="0.2">
      <c r="B31" t="s">
        <v>34</v>
      </c>
      <c r="C31" s="2">
        <f>(D13*100)/($D$9+$D$10+$D$11+$D$12+$D$13)</f>
        <v>2.0060180541624879</v>
      </c>
      <c r="D31" s="2">
        <f>(F13*100)/($F$9+$F$10+$F$11+$F$12+$F$13)</f>
        <v>4.4000000000000004</v>
      </c>
      <c r="E31" s="2">
        <f>(H13*100)/($H$9+$H$10+$H$11+$H$12+$H$13)</f>
        <v>2.0060180541624879</v>
      </c>
      <c r="F31" s="2">
        <f>(J13*100)/($J$9+$J$10+$J$11+$J$12+$J$13)</f>
        <v>1.801801801801802</v>
      </c>
    </row>
    <row r="32" spans="1:10" x14ac:dyDescent="0.2">
      <c r="A32" t="s">
        <v>16</v>
      </c>
      <c r="B32" t="s">
        <v>35</v>
      </c>
      <c r="C32" s="2">
        <f>(D15*100)/($D$15+$D$16+$D$17+$D$18)</f>
        <v>32.729103726082577</v>
      </c>
      <c r="D32" s="2">
        <f>(F15*100)/($F$15+$F$16+$F$17+$F$18)</f>
        <v>62.827225130890049</v>
      </c>
      <c r="E32" s="2">
        <f>(H15*100)/($H$15+$H$16+$H$17+$H$18)</f>
        <v>32.290615539858727</v>
      </c>
      <c r="F32" s="2">
        <f>(J15*100)/($J$15+$J$16+$J$17+$J$18)</f>
        <v>36.4</v>
      </c>
    </row>
    <row r="33" spans="2:6" x14ac:dyDescent="0.2">
      <c r="B33" t="s">
        <v>37</v>
      </c>
      <c r="C33" s="2">
        <f>(D16*100)/($D$15+$D$16+$D$17+$D$18)</f>
        <v>19.335347432024168</v>
      </c>
      <c r="D33" s="2">
        <f>(F16*100)/($F$15+$F$16+$F$17+$F$18)</f>
        <v>4.6073298429319376</v>
      </c>
      <c r="E33" s="2">
        <f>(H16*100)/($H$15+$H$16+$H$17+$H$18)</f>
        <v>19.17255297679112</v>
      </c>
      <c r="F33" s="2">
        <f>(H16*100)/($F$15+$F$16+$F$17+$F$18)</f>
        <v>19.895287958115183</v>
      </c>
    </row>
    <row r="34" spans="2:6" x14ac:dyDescent="0.2">
      <c r="B34" t="s">
        <v>36</v>
      </c>
      <c r="C34" s="2">
        <f>(D17*100)/($D$15+$D$16+$D$17+$D$18)</f>
        <v>28.801611278952667</v>
      </c>
      <c r="D34" s="2">
        <f>(F17*100)/($F$15+$F$16+$F$17+$F$18)</f>
        <v>18.638743455497384</v>
      </c>
      <c r="E34" s="2">
        <f>(H17*100)/($H$15+$H$16+$H$17+$H$18)</f>
        <v>28.85973763874874</v>
      </c>
      <c r="F34" s="2">
        <f>(H17*100)/($F$15+$F$16+$F$17+$F$18)</f>
        <v>29.947643979057592</v>
      </c>
    </row>
    <row r="35" spans="2:6" x14ac:dyDescent="0.2">
      <c r="B35" t="s">
        <v>38</v>
      </c>
      <c r="C35" s="2">
        <f>(D18*100)/($D$15+$D$16+$D$17+$D$18)</f>
        <v>19.133937562940581</v>
      </c>
      <c r="D35" s="2">
        <f>(F18*100)/($F$15+$F$16+$F$17+$F$18)</f>
        <v>13.926701570680628</v>
      </c>
      <c r="E35" s="2">
        <f>(H18*100)/($H$15+$H$16+$H$17+$H$18)</f>
        <v>19.677093844601412</v>
      </c>
      <c r="F35" s="2">
        <f>(H18*100)/($F$15+$F$16+$F$17+$F$18)</f>
        <v>20.418848167539267</v>
      </c>
    </row>
  </sheetData>
  <mergeCells count="6">
    <mergeCell ref="C2:D2"/>
    <mergeCell ref="E2:F2"/>
    <mergeCell ref="G2:H2"/>
    <mergeCell ref="I2:J2"/>
    <mergeCell ref="C1:F1"/>
    <mergeCell ref="G1:J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C2" sqref="C2:D16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31</v>
      </c>
      <c r="D2">
        <v>68.900000000000006</v>
      </c>
    </row>
    <row r="3" spans="1:4" x14ac:dyDescent="0.2">
      <c r="A3" t="s">
        <v>4</v>
      </c>
      <c r="B3" t="s">
        <v>6</v>
      </c>
      <c r="C3">
        <v>13</v>
      </c>
      <c r="D3">
        <v>28.9</v>
      </c>
    </row>
    <row r="4" spans="1:4" x14ac:dyDescent="0.2">
      <c r="A4" t="s">
        <v>4</v>
      </c>
      <c r="B4" t="s">
        <v>7</v>
      </c>
      <c r="C4">
        <v>0</v>
      </c>
      <c r="D4">
        <v>0</v>
      </c>
    </row>
    <row r="5" spans="1:4" x14ac:dyDescent="0.2">
      <c r="A5" t="s">
        <v>4</v>
      </c>
      <c r="B5" t="s">
        <v>8</v>
      </c>
      <c r="C5">
        <v>1</v>
      </c>
      <c r="D5">
        <v>2.2000000000000002</v>
      </c>
    </row>
    <row r="6" spans="1:4" x14ac:dyDescent="0.2">
      <c r="A6" t="s">
        <v>9</v>
      </c>
      <c r="B6" t="s">
        <v>10</v>
      </c>
      <c r="C6">
        <v>0</v>
      </c>
      <c r="D6">
        <v>0</v>
      </c>
    </row>
    <row r="7" spans="1:4" x14ac:dyDescent="0.2">
      <c r="A7" t="s">
        <v>9</v>
      </c>
      <c r="B7" t="s">
        <v>11</v>
      </c>
      <c r="C7">
        <v>14</v>
      </c>
      <c r="D7">
        <v>31.1</v>
      </c>
    </row>
    <row r="8" spans="1:4" x14ac:dyDescent="0.2">
      <c r="A8" t="s">
        <v>9</v>
      </c>
      <c r="B8" t="s">
        <v>12</v>
      </c>
      <c r="C8">
        <v>1</v>
      </c>
      <c r="D8">
        <v>2.2000000000000002</v>
      </c>
    </row>
    <row r="9" spans="1:4" x14ac:dyDescent="0.2">
      <c r="A9" t="s">
        <v>9</v>
      </c>
      <c r="B9" t="s">
        <v>13</v>
      </c>
      <c r="C9">
        <v>16</v>
      </c>
      <c r="D9">
        <v>35.6</v>
      </c>
    </row>
    <row r="10" spans="1:4" x14ac:dyDescent="0.2">
      <c r="A10" t="s">
        <v>9</v>
      </c>
      <c r="B10" t="s">
        <v>14</v>
      </c>
      <c r="C10">
        <v>12</v>
      </c>
      <c r="D10">
        <v>26.7</v>
      </c>
    </row>
    <row r="11" spans="1:4" x14ac:dyDescent="0.2">
      <c r="A11" t="s">
        <v>9</v>
      </c>
      <c r="B11" t="s">
        <v>15</v>
      </c>
      <c r="C11">
        <v>2</v>
      </c>
      <c r="D11">
        <v>4.4000000000000004</v>
      </c>
    </row>
    <row r="12" spans="1:4" x14ac:dyDescent="0.2">
      <c r="A12" t="s">
        <v>16</v>
      </c>
      <c r="B12" t="s">
        <v>17</v>
      </c>
      <c r="C12">
        <v>2</v>
      </c>
      <c r="D12">
        <v>4.4000000000000004</v>
      </c>
    </row>
    <row r="13" spans="1:4" x14ac:dyDescent="0.2">
      <c r="A13" t="s">
        <v>16</v>
      </c>
      <c r="B13" t="s">
        <v>18</v>
      </c>
      <c r="C13">
        <v>27</v>
      </c>
      <c r="D13">
        <v>60</v>
      </c>
    </row>
    <row r="14" spans="1:4" x14ac:dyDescent="0.2">
      <c r="A14" t="s">
        <v>16</v>
      </c>
      <c r="B14" t="s">
        <v>19</v>
      </c>
      <c r="C14">
        <v>2</v>
      </c>
      <c r="D14">
        <v>4.4000000000000004</v>
      </c>
    </row>
    <row r="15" spans="1:4" x14ac:dyDescent="0.2">
      <c r="A15" t="s">
        <v>16</v>
      </c>
      <c r="B15" t="s">
        <v>20</v>
      </c>
      <c r="C15">
        <v>8</v>
      </c>
      <c r="D15">
        <v>17.8</v>
      </c>
    </row>
    <row r="16" spans="1:4" x14ac:dyDescent="0.2">
      <c r="A16" t="s">
        <v>16</v>
      </c>
      <c r="B16" t="s">
        <v>21</v>
      </c>
      <c r="C16">
        <v>6</v>
      </c>
      <c r="D16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C2" sqref="C2:D16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484</v>
      </c>
      <c r="D2">
        <v>54.9</v>
      </c>
    </row>
    <row r="3" spans="1:4" x14ac:dyDescent="0.2">
      <c r="A3" t="s">
        <v>4</v>
      </c>
      <c r="B3" t="s">
        <v>6</v>
      </c>
      <c r="C3">
        <v>359</v>
      </c>
      <c r="D3">
        <v>40.700000000000003</v>
      </c>
    </row>
    <row r="4" spans="1:4" x14ac:dyDescent="0.2">
      <c r="A4" t="s">
        <v>4</v>
      </c>
      <c r="B4" t="s">
        <v>7</v>
      </c>
      <c r="C4">
        <v>14</v>
      </c>
      <c r="D4">
        <v>1.6</v>
      </c>
    </row>
    <row r="5" spans="1:4" x14ac:dyDescent="0.2">
      <c r="A5" t="s">
        <v>4</v>
      </c>
      <c r="B5" t="s">
        <v>8</v>
      </c>
      <c r="C5">
        <v>24</v>
      </c>
      <c r="D5">
        <v>2.7</v>
      </c>
    </row>
    <row r="6" spans="1:4" x14ac:dyDescent="0.2">
      <c r="A6" t="s">
        <v>9</v>
      </c>
      <c r="B6" t="s">
        <v>10</v>
      </c>
      <c r="C6">
        <v>2</v>
      </c>
      <c r="D6">
        <v>0.2</v>
      </c>
    </row>
    <row r="7" spans="1:4" x14ac:dyDescent="0.2">
      <c r="A7" t="s">
        <v>9</v>
      </c>
      <c r="B7" t="s">
        <v>11</v>
      </c>
      <c r="C7">
        <v>418</v>
      </c>
      <c r="D7">
        <v>47.4</v>
      </c>
    </row>
    <row r="8" spans="1:4" x14ac:dyDescent="0.2">
      <c r="A8" t="s">
        <v>9</v>
      </c>
      <c r="B8" t="s">
        <v>12</v>
      </c>
      <c r="C8">
        <v>132</v>
      </c>
      <c r="D8">
        <v>15</v>
      </c>
    </row>
    <row r="9" spans="1:4" x14ac:dyDescent="0.2">
      <c r="A9" t="s">
        <v>9</v>
      </c>
      <c r="B9" t="s">
        <v>13</v>
      </c>
      <c r="C9">
        <v>182</v>
      </c>
      <c r="D9">
        <v>20.7</v>
      </c>
    </row>
    <row r="10" spans="1:4" x14ac:dyDescent="0.2">
      <c r="A10" t="s">
        <v>9</v>
      </c>
      <c r="B10" t="s">
        <v>14</v>
      </c>
      <c r="C10">
        <v>129</v>
      </c>
      <c r="D10">
        <v>14.6</v>
      </c>
    </row>
    <row r="11" spans="1:4" x14ac:dyDescent="0.2">
      <c r="A11" t="s">
        <v>9</v>
      </c>
      <c r="B11" t="s">
        <v>15</v>
      </c>
      <c r="C11">
        <v>18</v>
      </c>
      <c r="D11">
        <v>2</v>
      </c>
    </row>
    <row r="12" spans="1:4" x14ac:dyDescent="0.2">
      <c r="A12" t="s">
        <v>16</v>
      </c>
      <c r="B12" t="s">
        <v>17</v>
      </c>
      <c r="C12">
        <v>8</v>
      </c>
      <c r="D12">
        <v>0.9</v>
      </c>
    </row>
    <row r="13" spans="1:4" x14ac:dyDescent="0.2">
      <c r="A13" t="s">
        <v>16</v>
      </c>
      <c r="B13" t="s">
        <v>18</v>
      </c>
      <c r="C13">
        <v>282</v>
      </c>
      <c r="D13">
        <v>32</v>
      </c>
    </row>
    <row r="14" spans="1:4" x14ac:dyDescent="0.2">
      <c r="A14" t="s">
        <v>16</v>
      </c>
      <c r="B14" t="s">
        <v>19</v>
      </c>
      <c r="C14">
        <v>167</v>
      </c>
      <c r="D14">
        <v>19</v>
      </c>
    </row>
    <row r="15" spans="1:4" x14ac:dyDescent="0.2">
      <c r="A15" t="s">
        <v>16</v>
      </c>
      <c r="B15" t="s">
        <v>20</v>
      </c>
      <c r="C15">
        <v>252</v>
      </c>
      <c r="D15">
        <v>28.6</v>
      </c>
    </row>
    <row r="16" spans="1:4" x14ac:dyDescent="0.2">
      <c r="A16" t="s">
        <v>16</v>
      </c>
      <c r="B16" t="s">
        <v>21</v>
      </c>
      <c r="C16">
        <v>172</v>
      </c>
      <c r="D16">
        <v>19.5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>
      <selection activeCell="C2" sqref="C2:D16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55</v>
      </c>
      <c r="D2">
        <v>50</v>
      </c>
    </row>
    <row r="3" spans="1:4" x14ac:dyDescent="0.2">
      <c r="A3" t="s">
        <v>4</v>
      </c>
      <c r="B3" t="s">
        <v>6</v>
      </c>
      <c r="C3">
        <v>52</v>
      </c>
      <c r="D3">
        <v>47.3</v>
      </c>
    </row>
    <row r="4" spans="1:4" x14ac:dyDescent="0.2">
      <c r="A4" t="s">
        <v>4</v>
      </c>
      <c r="B4" t="s">
        <v>7</v>
      </c>
      <c r="C4">
        <v>1</v>
      </c>
      <c r="D4">
        <v>0.9</v>
      </c>
    </row>
    <row r="5" spans="1:4" x14ac:dyDescent="0.2">
      <c r="A5" t="s">
        <v>4</v>
      </c>
      <c r="B5" t="s">
        <v>8</v>
      </c>
      <c r="C5">
        <v>2</v>
      </c>
      <c r="D5">
        <v>1.8</v>
      </c>
    </row>
    <row r="6" spans="1:4" x14ac:dyDescent="0.2">
      <c r="A6" t="s">
        <v>9</v>
      </c>
      <c r="B6" t="s">
        <v>10</v>
      </c>
      <c r="C6">
        <v>0</v>
      </c>
      <c r="D6">
        <v>0</v>
      </c>
    </row>
    <row r="7" spans="1:4" x14ac:dyDescent="0.2">
      <c r="A7" t="s">
        <v>9</v>
      </c>
      <c r="B7" t="s">
        <v>11</v>
      </c>
      <c r="C7">
        <v>51</v>
      </c>
      <c r="D7">
        <v>46.4</v>
      </c>
    </row>
    <row r="8" spans="1:4" x14ac:dyDescent="0.2">
      <c r="A8" t="s">
        <v>9</v>
      </c>
      <c r="B8" t="s">
        <v>12</v>
      </c>
      <c r="C8">
        <v>16</v>
      </c>
      <c r="D8">
        <v>14.5</v>
      </c>
    </row>
    <row r="9" spans="1:4" x14ac:dyDescent="0.2">
      <c r="A9" t="s">
        <v>9</v>
      </c>
      <c r="B9" t="s">
        <v>13</v>
      </c>
      <c r="C9">
        <v>26</v>
      </c>
      <c r="D9">
        <v>23.6</v>
      </c>
    </row>
    <row r="10" spans="1:4" x14ac:dyDescent="0.2">
      <c r="A10" t="s">
        <v>9</v>
      </c>
      <c r="B10" t="s">
        <v>14</v>
      </c>
      <c r="C10">
        <v>15</v>
      </c>
      <c r="D10">
        <v>13.6</v>
      </c>
    </row>
    <row r="11" spans="1:4" x14ac:dyDescent="0.2">
      <c r="A11" t="s">
        <v>9</v>
      </c>
      <c r="B11" t="s">
        <v>15</v>
      </c>
      <c r="C11">
        <v>2</v>
      </c>
      <c r="D11">
        <v>1.8</v>
      </c>
    </row>
    <row r="12" spans="1:4" x14ac:dyDescent="0.2">
      <c r="A12" t="s">
        <v>16</v>
      </c>
      <c r="B12" t="s">
        <v>17</v>
      </c>
      <c r="C12">
        <v>0</v>
      </c>
      <c r="D12">
        <v>0</v>
      </c>
    </row>
    <row r="13" spans="1:4" x14ac:dyDescent="0.2">
      <c r="A13" t="s">
        <v>16</v>
      </c>
      <c r="B13" t="s">
        <v>18</v>
      </c>
      <c r="C13">
        <v>40</v>
      </c>
      <c r="D13">
        <v>36.4</v>
      </c>
    </row>
    <row r="14" spans="1:4" x14ac:dyDescent="0.2">
      <c r="A14" t="s">
        <v>16</v>
      </c>
      <c r="B14" t="s">
        <v>19</v>
      </c>
      <c r="C14">
        <v>23</v>
      </c>
      <c r="D14">
        <v>20.9</v>
      </c>
    </row>
    <row r="15" spans="1:4" x14ac:dyDescent="0.2">
      <c r="A15" t="s">
        <v>16</v>
      </c>
      <c r="B15" t="s">
        <v>20</v>
      </c>
      <c r="C15">
        <v>31</v>
      </c>
      <c r="D15">
        <v>28.2</v>
      </c>
    </row>
    <row r="16" spans="1:4" x14ac:dyDescent="0.2">
      <c r="A16" t="s">
        <v>16</v>
      </c>
      <c r="B16" t="s">
        <v>21</v>
      </c>
      <c r="C16">
        <v>16</v>
      </c>
      <c r="D16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Q11_Yes</vt:lpstr>
      <vt:lpstr>Sheet1</vt:lpstr>
      <vt:lpstr>Q11_No</vt:lpstr>
      <vt:lpstr>Q22_Yes</vt:lpstr>
      <vt:lpstr>Q22_No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Barbara Zambelli Azevedo</cp:lastModifiedBy>
  <dcterms:created xsi:type="dcterms:W3CDTF">2026-06-19T10:20:28Z</dcterms:created>
  <dcterms:modified xsi:type="dcterms:W3CDTF">2026-06-19T12:47:57Z</dcterms:modified>
</cp:coreProperties>
</file>